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0376" windowHeight="12216" tabRatio="600" firstSheet="0" activeTab="0" autoFilterDateGrouping="1"/>
  </bookViews>
  <sheets>
    <sheet xmlns:r="http://schemas.openxmlformats.org/officeDocument/2006/relationships" name="Ray-Ban Meta Audio NPV" sheetId="1" state="visible" r:id="rId1"/>
    <sheet xmlns:r="http://schemas.openxmlformats.org/officeDocument/2006/relationships" name="NPV Example" sheetId="2" state="visible" r:id="rId2"/>
    <sheet xmlns:r="http://schemas.openxmlformats.org/officeDocument/2006/relationships" name="NPV Example X  (populated)" sheetId="3" state="visible" r:id="rId3"/>
    <sheet xmlns:r="http://schemas.openxmlformats.org/officeDocument/2006/relationships" name="NPV Example X +Sensitivity" sheetId="4" state="visible" r:id="rId4"/>
  </sheets>
  <definedNames>
    <definedName name="_xlnm.Print_Area" localSheetId="0">'Ray-Ban Meta Audio NPV'!$A$1:$K$53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&quot;$&quot;* #,##0_);_(&quot;$&quot;* \(#,##0\);_(&quot;$&quot;* &quot;-&quot;??_);_(@_)"/>
    <numFmt numFmtId="165" formatCode="&quot;$&quot;#,##0_);[Red]\(&quot;$&quot;#,##0\)"/>
    <numFmt numFmtId="166" formatCode="_(* #,##0_);_(* \(#,##0\);_(* &quot;-&quot;??_);_(@_)"/>
    <numFmt numFmtId="167" formatCode="_(&quot;$&quot;* #,##0.00_);_(&quot;$&quot;* \(#,##0.00\);_(&quot;$&quot;* &quot;-&quot;??_);_(@_)"/>
    <numFmt numFmtId="168" formatCode="&quot;$&quot;#,##0.00"/>
    <numFmt numFmtId="169" formatCode="0.0%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i val="1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b val="1"/>
      <sz val="20"/>
    </font>
    <font>
      <name val="Calibri"/>
      <sz val="11"/>
    </font>
    <font>
      <name val="Calibri"/>
      <color rgb="FF0000FF"/>
      <sz val="11"/>
    </font>
    <font>
      <name val="Calibri"/>
      <i val="1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color rgb="FF0000FF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6">
    <border>
      <left/>
      <right/>
      <top/>
      <bottom/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top style="thin"/>
      <bottom style="medium"/>
    </border>
    <border>
      <top style="thin"/>
      <bottom style="double"/>
    </border>
    <border>
      <bottom style="thin"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77">
    <xf numFmtId="0" fontId="0" fillId="0" borderId="0" pivotButton="0" quotePrefix="0" xfId="0"/>
    <xf numFmtId="164" fontId="0" fillId="0" borderId="0" pivotButton="0" quotePrefix="0" xfId="2"/>
    <xf numFmtId="165" fontId="0" fillId="0" borderId="0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horizontal="center"/>
    </xf>
    <xf numFmtId="166" fontId="0" fillId="0" borderId="0" pivotButton="0" quotePrefix="0" xfId="1"/>
    <xf numFmtId="42" fontId="0" fillId="0" borderId="2" pivotButton="0" quotePrefix="0" xfId="2"/>
    <xf numFmtId="42" fontId="0" fillId="0" borderId="2" pivotButton="0" quotePrefix="0" xfId="0"/>
    <xf numFmtId="0" fontId="0" fillId="0" borderId="3" pivotButton="0" quotePrefix="0" xfId="0"/>
    <xf numFmtId="164" fontId="0" fillId="0" borderId="4" pivotButton="0" quotePrefix="0" xfId="2"/>
    <xf numFmtId="0" fontId="0" fillId="0" borderId="5" pivotButton="0" quotePrefix="0" xfId="0"/>
    <xf numFmtId="164" fontId="0" fillId="0" borderId="6" pivotButton="0" quotePrefix="0" xfId="2"/>
    <xf numFmtId="0" fontId="0" fillId="0" borderId="6" pivotButton="0" quotePrefix="0" xfId="0"/>
    <xf numFmtId="0" fontId="0" fillId="0" borderId="6" pivotButton="0" quotePrefix="0" xfId="3"/>
    <xf numFmtId="0" fontId="0" fillId="0" borderId="7" pivotButton="0" quotePrefix="0" xfId="0"/>
    <xf numFmtId="10" fontId="0" fillId="0" borderId="8" pivotButton="0" quotePrefix="0" xfId="3"/>
    <xf numFmtId="165" fontId="0" fillId="0" borderId="9" pivotButton="0" quotePrefix="0" xfId="0"/>
    <xf numFmtId="42" fontId="0" fillId="0" borderId="0" pivotButton="0" quotePrefix="0" xfId="0"/>
    <xf numFmtId="0" fontId="0" fillId="0" borderId="10" pivotButton="0" quotePrefix="0" xfId="0"/>
    <xf numFmtId="164" fontId="0" fillId="0" borderId="11" pivotButton="0" quotePrefix="0" xfId="2"/>
    <xf numFmtId="0" fontId="0" fillId="0" borderId="12" pivotButton="0" quotePrefix="0" xfId="0"/>
    <xf numFmtId="164" fontId="0" fillId="0" borderId="13" pivotButton="0" quotePrefix="0" xfId="2"/>
    <xf numFmtId="0" fontId="0" fillId="0" borderId="13" pivotButton="0" quotePrefix="0" xfId="0"/>
    <xf numFmtId="0" fontId="0" fillId="0" borderId="13" pivotButton="0" quotePrefix="0" xfId="3"/>
    <xf numFmtId="0" fontId="0" fillId="0" borderId="14" pivotButton="0" quotePrefix="0" xfId="0"/>
    <xf numFmtId="10" fontId="0" fillId="0" borderId="15" pivotButton="0" quotePrefix="0" xfId="3"/>
    <xf numFmtId="167" fontId="4" fillId="0" borderId="16" pivotButton="0" quotePrefix="0" xfId="2"/>
    <xf numFmtId="0" fontId="5" fillId="0" borderId="10" pivotButton="0" quotePrefix="0" xfId="0"/>
    <xf numFmtId="164" fontId="5" fillId="0" borderId="11" pivotButton="0" quotePrefix="0" xfId="2"/>
    <xf numFmtId="0" fontId="5" fillId="0" borderId="0" pivotButton="0" quotePrefix="0" xfId="0"/>
    <xf numFmtId="0" fontId="5" fillId="0" borderId="12" pivotButton="0" quotePrefix="0" xfId="0"/>
    <xf numFmtId="164" fontId="5" fillId="0" borderId="13" pivotButton="0" quotePrefix="0" xfId="2"/>
    <xf numFmtId="0" fontId="5" fillId="0" borderId="13" pivotButton="0" quotePrefix="0" xfId="0"/>
    <xf numFmtId="0" fontId="5" fillId="0" borderId="13" pivotButton="0" quotePrefix="0" xfId="3"/>
    <xf numFmtId="0" fontId="5" fillId="0" borderId="14" pivotButton="0" quotePrefix="0" xfId="0"/>
    <xf numFmtId="10" fontId="5" fillId="0" borderId="15" pivotButton="0" quotePrefix="0" xfId="3"/>
    <xf numFmtId="0" fontId="6" fillId="0" borderId="0" applyAlignment="1" pivotButton="0" quotePrefix="0" xfId="0">
      <alignment horizontal="center"/>
    </xf>
    <xf numFmtId="164" fontId="5" fillId="0" borderId="0" pivotButton="0" quotePrefix="0" xfId="2"/>
    <xf numFmtId="166" fontId="5" fillId="0" borderId="0" pivotButton="0" quotePrefix="0" xfId="1"/>
    <xf numFmtId="42" fontId="5" fillId="0" borderId="2" pivotButton="0" quotePrefix="0" xfId="2"/>
    <xf numFmtId="42" fontId="5" fillId="0" borderId="2" pivotButton="0" quotePrefix="0" xfId="0"/>
    <xf numFmtId="165" fontId="5" fillId="0" borderId="1" pivotButton="0" quotePrefix="0" xfId="0"/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17" pivotButton="0" quotePrefix="0" xfId="0"/>
    <xf numFmtId="164" fontId="9" fillId="2" borderId="18" pivotButton="0" quotePrefix="0" xfId="0"/>
    <xf numFmtId="0" fontId="8" fillId="0" borderId="19" pivotButton="0" quotePrefix="0" xfId="0"/>
    <xf numFmtId="164" fontId="9" fillId="2" borderId="20" pivotButton="0" quotePrefix="0" xfId="0"/>
    <xf numFmtId="166" fontId="9" fillId="2" borderId="20" pivotButton="0" quotePrefix="0" xfId="0"/>
    <xf numFmtId="0" fontId="8" fillId="0" borderId="21" pivotButton="0" quotePrefix="0" xfId="0"/>
    <xf numFmtId="10" fontId="9" fillId="2" borderId="22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42" fontId="8" fillId="0" borderId="23" pivotButton="0" quotePrefix="0" xfId="0"/>
    <xf numFmtId="165" fontId="11" fillId="0" borderId="24" pivotButton="0" quotePrefix="0" xfId="0"/>
    <xf numFmtId="165" fontId="8" fillId="0" borderId="0" pivotButton="0" quotePrefix="0" xfId="0"/>
    <xf numFmtId="168" fontId="8" fillId="0" borderId="0" pivotButton="0" quotePrefix="0" xfId="0"/>
    <xf numFmtId="169" fontId="8" fillId="0" borderId="0" pivotButton="0" quotePrefix="0" xfId="0"/>
    <xf numFmtId="0" fontId="12" fillId="0" borderId="0" applyAlignment="1" pivotButton="0" quotePrefix="0" xfId="0">
      <alignment horizontal="center"/>
    </xf>
    <xf numFmtId="165" fontId="11" fillId="0" borderId="22" pivotButton="0" quotePrefix="0" xfId="0"/>
    <xf numFmtId="164" fontId="13" fillId="0" borderId="25" pivotButton="0" quotePrefix="0" xfId="0"/>
    <xf numFmtId="166" fontId="13" fillId="0" borderId="20" pivotButton="0" quotePrefix="0" xfId="0"/>
    <xf numFmtId="9" fontId="13" fillId="0" borderId="25" applyAlignment="1" pivotButton="0" quotePrefix="0" xfId="0">
      <alignment horizontal="center"/>
    </xf>
    <xf numFmtId="0" fontId="12" fillId="0" borderId="0" pivotButton="0" quotePrefix="0" xfId="0"/>
    <xf numFmtId="0" fontId="11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6" fontId="5" fillId="0" borderId="0" pivotButton="0" quotePrefix="0" xfId="1"/>
    <xf numFmtId="165" fontId="5" fillId="0" borderId="1" pivotButton="0" quotePrefix="0" xfId="0"/>
    <xf numFmtId="166" fontId="0" fillId="0" borderId="0" pivotButton="0" quotePrefix="0" xfId="1"/>
    <xf numFmtId="165" fontId="0" fillId="0" borderId="1" pivotButton="0" quotePrefix="0" xfId="0"/>
    <xf numFmtId="165" fontId="0" fillId="0" borderId="9" pivotButton="0" quotePrefix="0" xfId="0"/>
    <xf numFmtId="165" fontId="0" fillId="0" borderId="0" pivotButton="0" quotePrefix="0" xfId="0"/>
    <xf numFmtId="167" fontId="4" fillId="0" borderId="16" pivotButton="0" quotePrefix="0" xfId="2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Assumption note</author>
  </authors>
  <commentList>
    <comment ref="C2" authorId="0" shapeId="0">
      <text>
        <t>Net revenue per pair to the Meta/EssilorLuxottica program. $349 US starting list price (Meta Newsroom, 9/23/2026); ~$370 blended ASP with Rx/Transitions upgrades, less ~25% third-party retail margin, promotions and returns = ~$275. Assumption.</t>
      </text>
    </comment>
    <comment ref="C3" authorId="0" shapeId="0">
      <text>
        <t>Build-up (all assumptions): $110 hardware BOM incl. frame, lenses, charging case (anchored to Counterpoint's $134 BoM for a camera AI glass, minus camera module/ISP); $20 assembly, test, freight; $15 warranty/returns/support; $15 lifetime AI serving (Meta AI + Muse voice); $25 marketing/customer acquisition per unit.</t>
      </text>
    </comment>
    <comment ref="C4" authorId="0" shapeId="0">
      <text>
        <t>Year-1 INCREMENTAL pairs, net of ~30% assumed cannibalization of $449 camera models. Context: Meta/EssilorLuxottica sold &gt;7M pairs in 2025 (CNBC, 2/11/2026) and AI-glasses revenue nearly doubled in Q2-2026 (Bloomberg, 7/28/2026). 1.0M is roughly 6-8% of the 2027 lineup. Assumption.</t>
      </text>
    </comment>
    <comment ref="C5" authorId="0" shapeId="0">
      <text>
        <t>Linear unit growth per year (template convention: an absolute number of units, not %). Supported by capacity expanding to 10M+ units/yr (EssilorLuxottica) and 100+ frame styles by year-end 2026 (Meta). Assumption.</t>
      </text>
    </comment>
    <comment ref="C6" authorId="0" shapeId="0">
      <text>
        <t>Up-front, Year 0 (assumption): $140M engineering, industrial design &amp; audio tuning on the existing Ray-Ban Meta platform (~175 people x ~2 yrs x ~$400K fully loaded); $40M tooling, certification &amp; line set-up; $70M launch marketing &amp; retail fixtures.</t>
      </text>
    </comment>
    <comment ref="C7" authorId="0" shapeId="0">
      <text>
        <t>Meta Platforms WACC, Alphaspread discount-rate page (https://www.alphaspread.com/security/nasdaq/meta/discount-rate), as entered on the assignment.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110068</colOff>
      <row>0</row>
      <rowOff>169334</rowOff>
    </from>
    <to>
      <col>4</col>
      <colOff>967408</colOff>
      <row>5</row>
      <rowOff>12965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03601" y="169334"/>
          <a:ext cx="2008806" cy="10882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53"/>
  <sheetViews>
    <sheetView tabSelected="1" zoomScale="90" workbookViewId="0">
      <selection activeCell="A1" sqref="A1"/>
    </sheetView>
  </sheetViews>
  <sheetFormatPr baseColWidth="8" defaultRowHeight="15"/>
  <cols>
    <col width="30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5.8" customHeight="1">
      <c r="D1" s="43" t="inlineStr">
        <is>
          <t>Ray-Ban Meta Audio (Connect 2026) - 5-Year Product NPV</t>
        </is>
      </c>
    </row>
    <row r="2">
      <c r="B2" s="44" t="inlineStr">
        <is>
          <t>Per Unit Revenue</t>
        </is>
      </c>
      <c r="C2" s="45" t="n">
        <v>275</v>
      </c>
    </row>
    <row r="3">
      <c r="B3" s="46" t="inlineStr">
        <is>
          <t>Per Unit Cost</t>
        </is>
      </c>
      <c r="C3" s="47">
        <f>110+20+15+15+25</f>
        <v>185</v>
      </c>
    </row>
    <row r="4">
      <c r="B4" s="46" t="inlineStr">
        <is>
          <t>Initial Volume</t>
        </is>
      </c>
      <c r="C4" s="48" t="n">
        <v>1000000</v>
      </c>
    </row>
    <row r="5">
      <c r="B5" s="46" t="inlineStr">
        <is>
          <t>Volume Growth (YoY)</t>
        </is>
      </c>
      <c r="C5" s="48" t="n">
        <v>250000</v>
      </c>
    </row>
    <row r="6">
      <c r="B6" s="46" t="inlineStr">
        <is>
          <t>Investment</t>
        </is>
      </c>
      <c r="C6" s="47">
        <f>140000000+40000000+70000000</f>
        <v>250000000</v>
      </c>
    </row>
    <row r="7">
      <c r="B7" s="49" t="inlineStr">
        <is>
          <t>WACC</t>
        </is>
      </c>
      <c r="C7" s="50" t="n">
        <v>0.0832</v>
      </c>
    </row>
    <row r="8">
      <c r="B8" s="51" t="inlineStr">
        <is>
          <t>note:  revenue, unit cost, volume and volume growth are annual numbers; blue/yellow cells are inputs (hover for the source note)</t>
        </is>
      </c>
    </row>
    <row r="10">
      <c r="C10" s="52" t="inlineStr">
        <is>
          <t>Year 0 = 2026 -&gt;</t>
        </is>
      </c>
      <c r="D10" s="53" t="n">
        <v>2026</v>
      </c>
      <c r="E10" s="53" t="n">
        <v>2027</v>
      </c>
      <c r="F10" s="53" t="n">
        <v>2028</v>
      </c>
      <c r="G10" s="53" t="n">
        <v>2029</v>
      </c>
      <c r="H10" s="53" t="n">
        <v>2030</v>
      </c>
      <c r="I10" s="53" t="n">
        <v>2031</v>
      </c>
    </row>
    <row r="11">
      <c r="B11" s="54" t="inlineStr">
        <is>
          <t>Per Unit Revenue</t>
        </is>
      </c>
      <c r="E11" s="55">
        <f>$C$2</f>
        <v>275</v>
      </c>
      <c r="F11" s="55">
        <f>$C$2</f>
        <v>275</v>
      </c>
      <c r="G11" s="55">
        <f>$C$2</f>
        <v>275</v>
      </c>
      <c r="H11" s="55">
        <f>$C$2</f>
        <v>275</v>
      </c>
      <c r="I11" s="55">
        <f>$C$2</f>
        <v>275</v>
      </c>
    </row>
    <row r="12">
      <c r="B12" s="54" t="inlineStr">
        <is>
          <t>Per Unit Costs</t>
        </is>
      </c>
      <c r="E12" s="55">
        <f>-$C$3</f>
        <v>-185</v>
      </c>
      <c r="F12" s="55">
        <f>-$C$3</f>
        <v>-185</v>
      </c>
      <c r="G12" s="55">
        <f>-$C$3</f>
        <v>-185</v>
      </c>
      <c r="H12" s="55">
        <f>-$C$3</f>
        <v>-185</v>
      </c>
      <c r="I12" s="55">
        <f>-$C$3</f>
        <v>-185</v>
      </c>
    </row>
    <row r="14">
      <c r="B14" s="54" t="inlineStr">
        <is>
          <t>Contribution Margin</t>
        </is>
      </c>
      <c r="E14" s="55">
        <f>E11+E12</f>
        <v>90</v>
      </c>
      <c r="F14" s="55">
        <f>F11+F12</f>
        <v>90</v>
      </c>
      <c r="G14" s="55">
        <f>G11+G12</f>
        <v>90</v>
      </c>
      <c r="H14" s="55">
        <f>H11+H12</f>
        <v>90</v>
      </c>
      <c r="I14" s="55">
        <f>I11+I12</f>
        <v>90</v>
      </c>
    </row>
    <row r="16">
      <c r="B16" s="54" t="inlineStr">
        <is>
          <t>Volume</t>
        </is>
      </c>
      <c r="E16" s="56">
        <f>C4</f>
        <v>1000000</v>
      </c>
      <c r="F16" s="56">
        <f>E16+$C$5</f>
        <v>1250000</v>
      </c>
      <c r="G16" s="56">
        <f>F16+$C$5</f>
        <v>1500000</v>
      </c>
      <c r="H16" s="56">
        <f>G16+$C$5</f>
        <v>1750000</v>
      </c>
      <c r="I16" s="56">
        <f>H16+$C$5</f>
        <v>2000000</v>
      </c>
    </row>
    <row r="17" ht="6.75" customHeight="1"/>
    <row r="18">
      <c r="B18" s="54" t="inlineStr">
        <is>
          <t>Contribution Margin Revenue</t>
        </is>
      </c>
    </row>
    <row r="19">
      <c r="B19" s="54" t="inlineStr">
        <is>
          <t>and Investment</t>
        </is>
      </c>
      <c r="D19" s="57">
        <f>-C6</f>
        <v>-250000000</v>
      </c>
      <c r="E19" s="57">
        <f>E14*E16</f>
        <v>90000000</v>
      </c>
      <c r="F19" s="57">
        <f>F14*F16</f>
        <v>112500000</v>
      </c>
      <c r="G19" s="57">
        <f>G14*G16</f>
        <v>135000000</v>
      </c>
      <c r="H19" s="57">
        <f>H14*H16</f>
        <v>157500000</v>
      </c>
      <c r="I19" s="57">
        <f>I14*I16</f>
        <v>180000000</v>
      </c>
    </row>
    <row r="22">
      <c r="B22" s="54" t="inlineStr">
        <is>
          <t>Net Present Value</t>
        </is>
      </c>
      <c r="D22" s="58">
        <f>NPV(C7,D19:I19)</f>
        <v>249538835.491805</v>
      </c>
      <c r="E22" s="51" t="inlineStr">
        <is>
          <t>&lt;- template method (Excel NPV() over Year 0-5, so Year-0 investment is also discounted one period)</t>
        </is>
      </c>
    </row>
    <row r="23">
      <c r="B23" s="54" t="inlineStr">
        <is>
          <t>NPV, Year-0 not discounted</t>
        </is>
      </c>
      <c r="D23" s="59">
        <f>D19+NPV(C7,E19:I19)</f>
        <v>270300466.604723</v>
      </c>
      <c r="E23" s="51" t="inlineStr">
        <is>
          <t>&lt;- cross-check: investment treated as a true t = 0 cash flow</t>
        </is>
      </c>
    </row>
    <row r="24">
      <c r="B24" s="54" t="inlineStr">
        <is>
          <t>Break-even contribution / unit</t>
        </is>
      </c>
      <c r="D24" s="60">
        <f>C6/NPV(C7,E16:I16)</f>
        <v>43.2442433635053</v>
      </c>
      <c r="E24" s="51" t="inlineStr">
        <is>
          <t>&lt;- contribution per pair at which NPV = 0 (holds under either timing convention)</t>
        </is>
      </c>
    </row>
    <row r="25">
      <c r="B25" s="54" t="inlineStr">
        <is>
          <t>Margin of safety</t>
        </is>
      </c>
      <c r="D25" s="61">
        <f>1-D24/E14</f>
        <v>0.519508407072164</v>
      </c>
      <c r="E25" s="51" t="inlineStr">
        <is>
          <t>&lt;- % that contribution per unit (or volume) can fall before NPV reaches zero</t>
        </is>
      </c>
    </row>
    <row r="27">
      <c r="D27" s="62" t="inlineStr">
        <is>
          <t>Sensitivity: NPV by Net Revenue per Unit (across) and Year-1 Incremental Volume (down)</t>
        </is>
      </c>
    </row>
    <row r="29">
      <c r="B29" s="54" t="inlineStr">
        <is>
          <t>Year-1 volume (down) /</t>
        </is>
      </c>
      <c r="D29" s="63">
        <f>D22</f>
        <v>249538835.491805</v>
      </c>
      <c r="E29" s="64" t="n">
        <v>215</v>
      </c>
      <c r="F29" s="64" t="n">
        <v>235</v>
      </c>
      <c r="G29" s="64" t="n">
        <v>255</v>
      </c>
      <c r="H29" s="64" t="n">
        <v>275</v>
      </c>
      <c r="I29" s="64" t="n">
        <v>295</v>
      </c>
      <c r="J29" s="64" t="n">
        <v>315</v>
      </c>
      <c r="K29" s="64" t="n">
        <v>335</v>
      </c>
    </row>
    <row r="30">
      <c r="B30" s="54" t="inlineStr">
        <is>
          <t>net revenue per unit (across)</t>
        </is>
      </c>
      <c r="D30" s="65" t="n">
        <v>400000</v>
      </c>
      <c r="E30" s="59">
        <f>NPV($C$7,-$C$6,(E$29-$C$3)*$D30,(E$29-$C$3)*($D30+$C$5),(E$29-$C$3)*($D30+2*$C$5),(E$29-$C$3)*($D30+3*$C$5),(E$29-$C$3)*($D30+4*$C$5))</f>
        <v>-136478219.863757</v>
      </c>
      <c r="F30" s="59">
        <f>NPV($C$7,-$C$6,(F$29-$C$3)*$D30,(F$29-$C$3)*($D30+$C$5),(F$29-$C$3)*($D30+2*$C$5),(F$29-$C$3)*($D30+3*$C$5),(F$29-$C$3)*($D30+4*$C$5))</f>
        <v>-73598608.6847948</v>
      </c>
      <c r="G30" s="59">
        <f>NPV($C$7,-$C$6,(G$29-$C$3)*$D30,(G$29-$C$3)*($D30+$C$5),(G$29-$C$3)*($D30+2*$C$5),(G$29-$C$3)*($D30+3*$C$5),(G$29-$C$3)*($D30+4*$C$5))</f>
        <v>-10718997.5058323</v>
      </c>
      <c r="H30" s="59">
        <f>NPV($C$7,-$C$6,(H$29-$C$3)*$D30,(H$29-$C$3)*($D30+$C$5),(H$29-$C$3)*($D30+2*$C$5),(H$29-$C$3)*($D30+3*$C$5),(H$29-$C$3)*($D30+4*$C$5))</f>
        <v>52160613.6731302</v>
      </c>
      <c r="I30" s="59">
        <f>NPV($C$7,-$C$6,(I$29-$C$3)*$D30,(I$29-$C$3)*($D30+$C$5),(I$29-$C$3)*($D30+2*$C$5),(I$29-$C$3)*($D30+3*$C$5),(I$29-$C$3)*($D30+4*$C$5))</f>
        <v>115040224.852093</v>
      </c>
      <c r="J30" s="59">
        <f>NPV($C$7,-$C$6,(J$29-$C$3)*$D30,(J$29-$C$3)*($D30+$C$5),(J$29-$C$3)*($D30+2*$C$5),(J$29-$C$3)*($D30+3*$C$5),(J$29-$C$3)*($D30+4*$C$5))</f>
        <v>177919836.031055</v>
      </c>
      <c r="K30" s="59">
        <f>NPV($C$7,-$C$6,(K$29-$C$3)*$D30,(K$29-$C$3)*($D30+$C$5),(K$29-$C$3)*($D30+2*$C$5),(K$29-$C$3)*($D30+3*$C$5),(K$29-$C$3)*($D30+4*$C$5))</f>
        <v>240799447.210018</v>
      </c>
    </row>
    <row r="31">
      <c r="D31" s="65" t="n">
        <v>600000</v>
      </c>
      <c r="E31" s="59">
        <f>NPV($C$7,-$C$6,(E$29-$C$3)*$D31,(E$29-$C$3)*($D31+$C$5),(E$29-$C$3)*($D31+2*$C$5),(E$29-$C$3)*($D31+3*$C$5),(E$29-$C$3)*($D31+4*$C$5))</f>
        <v>-114547306.328349</v>
      </c>
      <c r="F31" s="59">
        <f>NPV($C$7,-$C$6,(F$29-$C$3)*$D31,(F$29-$C$3)*($D31+$C$5),(F$29-$C$3)*($D31+2*$C$5),(F$29-$C$3)*($D31+3*$C$5),(F$29-$C$3)*($D31+4*$C$5))</f>
        <v>-37047086.1257809</v>
      </c>
      <c r="G31" s="59">
        <f>NPV($C$7,-$C$6,(G$29-$C$3)*$D31,(G$29-$C$3)*($D31+$C$5),(G$29-$C$3)*($D31+2*$C$5),(G$29-$C$3)*($D31+3*$C$5),(G$29-$C$3)*($D31+4*$C$5))</f>
        <v>40453134.0767871</v>
      </c>
      <c r="H31" s="59">
        <f>NPV($C$7,-$C$6,(H$29-$C$3)*$D31,(H$29-$C$3)*($D31+$C$5),(H$29-$C$3)*($D31+2*$C$5),(H$29-$C$3)*($D31+3*$C$5),(H$29-$C$3)*($D31+4*$C$5))</f>
        <v>117953354.279355</v>
      </c>
      <c r="I31" s="59">
        <f>NPV($C$7,-$C$6,(I$29-$C$3)*$D31,(I$29-$C$3)*($D31+$C$5),(I$29-$C$3)*($D31+2*$C$5),(I$29-$C$3)*($D31+3*$C$5),(I$29-$C$3)*($D31+4*$C$5))</f>
        <v>195453574.481923</v>
      </c>
      <c r="J31" s="59">
        <f>NPV($C$7,-$C$6,(J$29-$C$3)*$D31,(J$29-$C$3)*($D31+$C$5),(J$29-$C$3)*($D31+2*$C$5),(J$29-$C$3)*($D31+3*$C$5),(J$29-$C$3)*($D31+4*$C$5))</f>
        <v>272953794.684491</v>
      </c>
      <c r="K31" s="59">
        <f>NPV($C$7,-$C$6,(K$29-$C$3)*$D31,(K$29-$C$3)*($D31+$C$5),(K$29-$C$3)*($D31+2*$C$5),(K$29-$C$3)*($D31+3*$C$5),(K$29-$C$3)*($D31+4*$C$5))</f>
        <v>350454014.887059</v>
      </c>
    </row>
    <row r="32">
      <c r="D32" s="65" t="n">
        <v>800000</v>
      </c>
      <c r="E32" s="59">
        <f>NPV($C$7,-$C$6,(E$29-$C$3)*$D32,(E$29-$C$3)*($D32+$C$5),(E$29-$C$3)*($D32+2*$C$5),(E$29-$C$3)*($D32+3*$C$5),(E$29-$C$3)*($D32+4*$C$5))</f>
        <v>-92616392.7929406</v>
      </c>
      <c r="F32" s="59">
        <f>NPV($C$7,-$C$6,(F$29-$C$3)*$D32,(F$29-$C$3)*($D32+$C$5),(F$29-$C$3)*($D32+2*$C$5),(F$29-$C$3)*($D32+3*$C$5),(F$29-$C$3)*($D32+4*$C$5))</f>
        <v>-495563.566767059</v>
      </c>
      <c r="G32" s="59">
        <f>NPV($C$7,-$C$6,(G$29-$C$3)*$D32,(G$29-$C$3)*($D32+$C$5),(G$29-$C$3)*($D32+2*$C$5),(G$29-$C$3)*($D32+3*$C$5),(G$29-$C$3)*($D32+4*$C$5))</f>
        <v>91625265.6594065</v>
      </c>
      <c r="H32" s="59">
        <f>NPV($C$7,-$C$6,(H$29-$C$3)*$D32,(H$29-$C$3)*($D32+$C$5),(H$29-$C$3)*($D32+2*$C$5),(H$29-$C$3)*($D32+3*$C$5),(H$29-$C$3)*($D32+4*$C$5))</f>
        <v>183746094.88558</v>
      </c>
      <c r="I32" s="59">
        <f>NPV($C$7,-$C$6,(I$29-$C$3)*$D32,(I$29-$C$3)*($D32+$C$5),(I$29-$C$3)*($D32+2*$C$5),(I$29-$C$3)*($D32+3*$C$5),(I$29-$C$3)*($D32+4*$C$5))</f>
        <v>275866924.111754</v>
      </c>
      <c r="J32" s="59">
        <f>NPV($C$7,-$C$6,(J$29-$C$3)*$D32,(J$29-$C$3)*($D32+$C$5),(J$29-$C$3)*($D32+2*$C$5),(J$29-$C$3)*($D32+3*$C$5),(J$29-$C$3)*($D32+4*$C$5))</f>
        <v>367987753.337927</v>
      </c>
      <c r="K32" s="59">
        <f>NPV($C$7,-$C$6,(K$29-$C$3)*$D32,(K$29-$C$3)*($D32+$C$5),(K$29-$C$3)*($D32+2*$C$5),(K$29-$C$3)*($D32+3*$C$5),(K$29-$C$3)*($D32+4*$C$5))</f>
        <v>460108582.564101</v>
      </c>
    </row>
    <row r="33">
      <c r="D33" s="65" t="n">
        <v>1000000</v>
      </c>
      <c r="E33" s="59">
        <f>NPV($C$7,-$C$6,(E$29-$C$3)*$D33,(E$29-$C$3)*($D33+$C$5),(E$29-$C$3)*($D33+2*$C$5),(E$29-$C$3)*($D33+3*$C$5),(E$29-$C$3)*($D33+4*$C$5))</f>
        <v>-70685479.2575323</v>
      </c>
      <c r="F33" s="59">
        <f>NPV($C$7,-$C$6,(F$29-$C$3)*$D33,(F$29-$C$3)*($D33+$C$5),(F$29-$C$3)*($D33+2*$C$5),(F$29-$C$3)*($D33+3*$C$5),(F$29-$C$3)*($D33+4*$C$5))</f>
        <v>36055958.9922468</v>
      </c>
      <c r="G33" s="59">
        <f>NPV($C$7,-$C$6,(G$29-$C$3)*$D33,(G$29-$C$3)*($D33+$C$5),(G$29-$C$3)*($D33+2*$C$5),(G$29-$C$3)*($D33+3*$C$5),(G$29-$C$3)*($D33+4*$C$5))</f>
        <v>142797397.242026</v>
      </c>
      <c r="H33" s="59">
        <f>NPV($C$7,-$C$6,(H$29-$C$3)*$D33,(H$29-$C$3)*($D33+$C$5),(H$29-$C$3)*($D33+2*$C$5),(H$29-$C$3)*($D33+3*$C$5),(H$29-$C$3)*($D33+4*$C$5))</f>
        <v>249538835.491805</v>
      </c>
      <c r="I33" s="59">
        <f>NPV($C$7,-$C$6,(I$29-$C$3)*$D33,(I$29-$C$3)*($D33+$C$5),(I$29-$C$3)*($D33+2*$C$5),(I$29-$C$3)*($D33+3*$C$5),(I$29-$C$3)*($D33+4*$C$5))</f>
        <v>356280273.741584</v>
      </c>
      <c r="J33" s="59">
        <f>NPV($C$7,-$C$6,(J$29-$C$3)*$D33,(J$29-$C$3)*($D33+$C$5),(J$29-$C$3)*($D33+2*$C$5),(J$29-$C$3)*($D33+3*$C$5),(J$29-$C$3)*($D33+4*$C$5))</f>
        <v>463021711.991363</v>
      </c>
      <c r="K33" s="59">
        <f>NPV($C$7,-$C$6,(K$29-$C$3)*$D33,(K$29-$C$3)*($D33+$C$5),(K$29-$C$3)*($D33+2*$C$5),(K$29-$C$3)*($D33+3*$C$5),(K$29-$C$3)*($D33+4*$C$5))</f>
        <v>569763150.241142</v>
      </c>
    </row>
    <row r="34">
      <c r="D34" s="65" t="n">
        <v>1200000</v>
      </c>
      <c r="E34" s="59">
        <f>NPV($C$7,-$C$6,(E$29-$C$3)*$D34,(E$29-$C$3)*($D34+$C$5),(E$29-$C$3)*($D34+2*$C$5),(E$29-$C$3)*($D34+3*$C$5),(E$29-$C$3)*($D34+4*$C$5))</f>
        <v>-48754565.722124</v>
      </c>
      <c r="F34" s="59">
        <f>NPV($C$7,-$C$6,(F$29-$C$3)*$D34,(F$29-$C$3)*($D34+$C$5),(F$29-$C$3)*($D34+2*$C$5),(F$29-$C$3)*($D34+3*$C$5),(F$29-$C$3)*($D34+4*$C$5))</f>
        <v>72607481.5512607</v>
      </c>
      <c r="G34" s="59">
        <f>NPV($C$7,-$C$6,(G$29-$C$3)*$D34,(G$29-$C$3)*($D34+$C$5),(G$29-$C$3)*($D34+2*$C$5),(G$29-$C$3)*($D34+3*$C$5),(G$29-$C$3)*($D34+4*$C$5))</f>
        <v>193969528.824645</v>
      </c>
      <c r="H34" s="59">
        <f>NPV($C$7,-$C$6,(H$29-$C$3)*$D34,(H$29-$C$3)*($D34+$C$5),(H$29-$C$3)*($D34+2*$C$5),(H$29-$C$3)*($D34+3*$C$5),(H$29-$C$3)*($D34+4*$C$5))</f>
        <v>315331576.09803</v>
      </c>
      <c r="I34" s="59">
        <f>NPV($C$7,-$C$6,(I$29-$C$3)*$D34,(I$29-$C$3)*($D34+$C$5),(I$29-$C$3)*($D34+2*$C$5),(I$29-$C$3)*($D34+3*$C$5),(I$29-$C$3)*($D34+4*$C$5))</f>
        <v>436693623.371415</v>
      </c>
      <c r="J34" s="59">
        <f>NPV($C$7,-$C$6,(J$29-$C$3)*$D34,(J$29-$C$3)*($D34+$C$5),(J$29-$C$3)*($D34+2*$C$5),(J$29-$C$3)*($D34+3*$C$5),(J$29-$C$3)*($D34+4*$C$5))</f>
        <v>558055670.644799</v>
      </c>
      <c r="K34" s="59">
        <f>NPV($C$7,-$C$6,(K$29-$C$3)*$D34,(K$29-$C$3)*($D34+$C$5),(K$29-$C$3)*($D34+2*$C$5),(K$29-$C$3)*($D34+3*$C$5),(K$29-$C$3)*($D34+4*$C$5))</f>
        <v>679417717.918184</v>
      </c>
    </row>
    <row r="35">
      <c r="D35" s="65" t="n">
        <v>1400000</v>
      </c>
      <c r="E35" s="59">
        <f>NPV($C$7,-$C$6,(E$29-$C$3)*$D35,(E$29-$C$3)*($D35+$C$5),(E$29-$C$3)*($D35+2*$C$5),(E$29-$C$3)*($D35+3*$C$5),(E$29-$C$3)*($D35+4*$C$5))</f>
        <v>-26823652.1867157</v>
      </c>
      <c r="F35" s="59">
        <f>NPV($C$7,-$C$6,(F$29-$C$3)*$D35,(F$29-$C$3)*($D35+$C$5),(F$29-$C$3)*($D35+2*$C$5),(F$29-$C$3)*($D35+3*$C$5),(F$29-$C$3)*($D35+4*$C$5))</f>
        <v>109159004.110275</v>
      </c>
      <c r="G35" s="59">
        <f>NPV($C$7,-$C$6,(G$29-$C$3)*$D35,(G$29-$C$3)*($D35+$C$5),(G$29-$C$3)*($D35+2*$C$5),(G$29-$C$3)*($D35+3*$C$5),(G$29-$C$3)*($D35+4*$C$5))</f>
        <v>245141660.407265</v>
      </c>
      <c r="H35" s="59">
        <f>NPV($C$7,-$C$6,(H$29-$C$3)*$D35,(H$29-$C$3)*($D35+$C$5),(H$29-$C$3)*($D35+2*$C$5),(H$29-$C$3)*($D35+3*$C$5),(H$29-$C$3)*($D35+4*$C$5))</f>
        <v>381124316.704255</v>
      </c>
      <c r="I35" s="59">
        <f>NPV($C$7,-$C$6,(I$29-$C$3)*$D35,(I$29-$C$3)*($D35+$C$5),(I$29-$C$3)*($D35+2*$C$5),(I$29-$C$3)*($D35+3*$C$5),(I$29-$C$3)*($D35+4*$C$5))</f>
        <v>517106973.001245</v>
      </c>
      <c r="J35" s="59">
        <f>NPV($C$7,-$C$6,(J$29-$C$3)*$D35,(J$29-$C$3)*($D35+$C$5),(J$29-$C$3)*($D35+2*$C$5),(J$29-$C$3)*($D35+3*$C$5),(J$29-$C$3)*($D35+4*$C$5))</f>
        <v>653089629.298235</v>
      </c>
      <c r="K35" s="59">
        <f>NPV($C$7,-$C$6,(K$29-$C$3)*$D35,(K$29-$C$3)*($D35+$C$5),(K$29-$C$3)*($D35+2*$C$5),(K$29-$C$3)*($D35+3*$C$5),(K$29-$C$3)*($D35+4*$C$5))</f>
        <v>789072285.595225</v>
      </c>
    </row>
    <row r="36">
      <c r="D36" s="65" t="n">
        <v>1600000</v>
      </c>
      <c r="E36" s="59">
        <f>NPV($C$7,-$C$6,(E$29-$C$3)*$D36,(E$29-$C$3)*($D36+$C$5),(E$29-$C$3)*($D36+2*$C$5),(E$29-$C$3)*($D36+3*$C$5),(E$29-$C$3)*($D36+4*$C$5))</f>
        <v>-4892738.65130734</v>
      </c>
      <c r="F36" s="59">
        <f>NPV($C$7,-$C$6,(F$29-$C$3)*$D36,(F$29-$C$3)*($D36+$C$5),(F$29-$C$3)*($D36+2*$C$5),(F$29-$C$3)*($D36+3*$C$5),(F$29-$C$3)*($D36+4*$C$5))</f>
        <v>145710526.669288</v>
      </c>
      <c r="G36" s="59">
        <f>NPV($C$7,-$C$6,(G$29-$C$3)*$D36,(G$29-$C$3)*($D36+$C$5),(G$29-$C$3)*($D36+2*$C$5),(G$29-$C$3)*($D36+3*$C$5),(G$29-$C$3)*($D36+4*$C$5))</f>
        <v>296313791.989884</v>
      </c>
      <c r="H36" s="59">
        <f>NPV($C$7,-$C$6,(H$29-$C$3)*$D36,(H$29-$C$3)*($D36+$C$5),(H$29-$C$3)*($D36+2*$C$5),(H$29-$C$3)*($D36+3*$C$5),(H$29-$C$3)*($D36+4*$C$5))</f>
        <v>446917057.31048</v>
      </c>
      <c r="I36" s="59">
        <f>NPV($C$7,-$C$6,(I$29-$C$3)*$D36,(I$29-$C$3)*($D36+$C$5),(I$29-$C$3)*($D36+2*$C$5),(I$29-$C$3)*($D36+3*$C$5),(I$29-$C$3)*($D36+4*$C$5))</f>
        <v>597520322.631075</v>
      </c>
      <c r="J36" s="59">
        <f>NPV($C$7,-$C$6,(J$29-$C$3)*$D36,(J$29-$C$3)*($D36+$C$5),(J$29-$C$3)*($D36+2*$C$5),(J$29-$C$3)*($D36+3*$C$5),(J$29-$C$3)*($D36+4*$C$5))</f>
        <v>748123587.951671</v>
      </c>
      <c r="K36" s="59">
        <f>NPV($C$7,-$C$6,(K$29-$C$3)*$D36,(K$29-$C$3)*($D36+$C$5),(K$29-$C$3)*($D36+2*$C$5),(K$29-$C$3)*($D36+3*$C$5),(K$29-$C$3)*($D36+4*$C$5))</f>
        <v>898726853.272267</v>
      </c>
    </row>
    <row r="37">
      <c r="B37" s="51" t="inlineStr">
        <is>
          <t>Unit cost and volume growth held at C3 and C5; same NPV method as D22.</t>
        </is>
      </c>
    </row>
    <row r="39">
      <c r="D39" s="62" t="inlineStr">
        <is>
          <t>Scenario: Meta's Share of Program Contribution (Meta funds 100% of the investment)</t>
        </is>
      </c>
    </row>
    <row r="41">
      <c r="B41" s="54" t="inlineStr">
        <is>
          <t>Meta's share of contribution</t>
        </is>
      </c>
      <c r="E41" s="66" t="n">
        <v>1</v>
      </c>
      <c r="F41" s="66" t="n">
        <v>0.75</v>
      </c>
      <c r="G41" s="66" t="n">
        <v>0.6</v>
      </c>
      <c r="H41" s="66" t="n">
        <v>0.5</v>
      </c>
      <c r="I41" s="66" t="n">
        <v>0.4</v>
      </c>
    </row>
    <row r="42">
      <c r="B42" s="54" t="inlineStr">
        <is>
          <t>NPV to Meta</t>
        </is>
      </c>
      <c r="E42" s="59">
        <f>NPV($C$7,$D$19,E$41*$E$19,E$41*$F$19,E$41*$G$19,E$41*$H$19,E$41*$I$19)</f>
        <v>249538835.491805</v>
      </c>
      <c r="F42" s="59">
        <f>NPV($C$7,$D$19,F$41*$E$19,F$41*$F$19,F$41*$G$19,F$41*$H$19,F$41*$I$19)</f>
        <v>129454717.460803</v>
      </c>
      <c r="G42" s="59">
        <f>NPV($C$7,$D$19,G$41*$E$19,G$41*$F$19,G$41*$G$19,G$41*$H$19,G$41*$I$19)</f>
        <v>57404246.6422026</v>
      </c>
      <c r="H42" s="59">
        <f>NPV($C$7,$D$19,H$41*$E$19,H$41*$F$19,H$41*$G$19,H$41*$H$19,H$41*$I$19)</f>
        <v>9370599.42980203</v>
      </c>
      <c r="I42" s="59">
        <f>NPV($C$7,$D$19,I$41*$E$19,I$41*$F$19,I$41*$G$19,I$41*$H$19,I$41*$I$19)</f>
        <v>-38663047.7825986</v>
      </c>
    </row>
    <row r="43">
      <c r="B43" s="51" t="inlineStr">
        <is>
          <t>The Meta/EssilorLuxottica revenue split is not disclosed; this shows how quickly value moves to the partner.</t>
        </is>
      </c>
    </row>
    <row r="46">
      <c r="B46" s="67" t="inlineStr">
        <is>
          <t>Assumption notes &amp; sources</t>
        </is>
      </c>
    </row>
    <row r="47" ht="30" customHeight="1">
      <c r="B47" s="68" t="inlineStr">
        <is>
          <t>Scope</t>
        </is>
      </c>
      <c r="C47" s="69" t="inlineStr">
        <is>
          <t>Program-level, incremental economics of the camera-free SKU only. Ecosystem value (Meta AI / Muse engagement, data, ads, de-risking the privacy backlash for the whole glasses line) is NOT included - it is upside.</t>
        </is>
      </c>
    </row>
    <row r="48" ht="30" customHeight="1">
      <c r="B48" s="68" t="inlineStr">
        <is>
          <t>Timing</t>
        </is>
      </c>
      <c r="C48" s="69" t="inlineStr">
        <is>
          <t>Launch Oct 13, 2026 (Meta Newsroom). 2026 = Year 0 investment; Q4-2026 launch-quarter sales excluded (conservative). Years 1-5 = 2027-2031.</t>
        </is>
      </c>
    </row>
    <row r="49" ht="30" customHeight="1">
      <c r="B49" s="68" t="inlineStr">
        <is>
          <t>Revenue</t>
        </is>
      </c>
      <c r="C49" s="69" t="inlineStr">
        <is>
          <t>$349 starting US price (Meta Newsroom, "Introducing Ray-Ban Meta Audio...", 9/23/2026). Net $275 after channel margin, promotions and returns (assumption).</t>
        </is>
      </c>
    </row>
    <row r="50" ht="30" customHeight="1">
      <c r="B50" s="68" t="inlineStr">
        <is>
          <t>Unit cost</t>
        </is>
      </c>
      <c r="C50" s="69" t="inlineStr">
        <is>
          <t>Counterpoint Research Li Auto Livis AI-glasses BoM = $134.3 (camera-equipped) used as the anchor; removing the camera module/ISP and adding a Ray-Ban frame + charging case gives ~$110 BOM. Other per-unit costs are assumptions.</t>
        </is>
      </c>
    </row>
    <row r="51" ht="30" customHeight="1">
      <c r="B51" s="68" t="inlineStr">
        <is>
          <t>Volume</t>
        </is>
      </c>
      <c r="C51" s="69" t="inlineStr">
        <is>
          <t>&gt;7M Meta glasses sold in 2025 (CNBC, 2/11/2026); AI-glasses revenue nearly doubled in Q2-2026 (Bloomberg, 7/28/2026); global AI-glasses shipments 8.7M in 2025 (Omdia, Mar 2026). Volume is net of ~30% cannibalization (assumption).</t>
        </is>
      </c>
    </row>
    <row r="52" ht="30" customHeight="1">
      <c r="B52" s="68" t="inlineStr">
        <is>
          <t>Investment</t>
        </is>
      </c>
      <c r="C52" s="69" t="inlineStr">
        <is>
          <t>Derivative of an existing platform, so far below a new-category program. Assumed $250M (engineering $140M, tooling $40M, launch $70M).</t>
        </is>
      </c>
    </row>
    <row r="53" ht="30" customHeight="1">
      <c r="B53" s="68" t="inlineStr">
        <is>
          <t>WACC</t>
        </is>
      </c>
      <c r="C53" s="69" t="inlineStr">
        <is>
          <t>8.32% - Alphaspread, Meta Platforms discount rate (nasdaq/meta).</t>
        </is>
      </c>
    </row>
  </sheetData>
  <mergeCells count="10">
    <mergeCell ref="C47:K47"/>
    <mergeCell ref="C51:K51"/>
    <mergeCell ref="D39:K39"/>
    <mergeCell ref="D1:K1"/>
    <mergeCell ref="C50:K50"/>
    <mergeCell ref="C52:K52"/>
    <mergeCell ref="C53:K53"/>
    <mergeCell ref="C48:K48"/>
    <mergeCell ref="D27:K27"/>
    <mergeCell ref="C49:K49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2"/>
  <sheetViews>
    <sheetView tabSelected="0" zoomScale="90" zoomScaleNormal="90" workbookViewId="0">
      <selection activeCell="C18" sqref="C18"/>
    </sheetView>
  </sheetViews>
  <sheetFormatPr baseColWidth="8" defaultRowHeight="14.4"/>
  <cols>
    <col width="23.77734375" customWidth="1" min="2" max="2"/>
    <col width="19.6640625" bestFit="1" customWidth="1" min="3" max="3"/>
    <col width="16.77734375" bestFit="1" customWidth="1" min="4" max="4"/>
    <col width="16.109375" bestFit="1" customWidth="1" min="5" max="14"/>
  </cols>
  <sheetData>
    <row r="1" ht="25.8" customHeight="1">
      <c r="D1" s="42" t="inlineStr">
        <is>
          <t>NPV Example</t>
        </is>
      </c>
    </row>
    <row r="2" ht="18" customHeight="1">
      <c r="B2" s="27" t="inlineStr">
        <is>
          <t>Per Unit Revenue</t>
        </is>
      </c>
      <c r="C2" s="28">
        <f>45*12</f>
        <v>540</v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 ht="18" customHeight="1">
      <c r="B3" s="30" t="inlineStr">
        <is>
          <t>Per Unit Cost</t>
        </is>
      </c>
      <c r="C3" s="31">
        <f>20*12</f>
        <v>240</v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</row>
    <row r="4" ht="18" customHeight="1">
      <c r="B4" s="30" t="inlineStr">
        <is>
          <t>Initial Volume</t>
        </is>
      </c>
      <c r="C4" s="32" t="n">
        <v>100000</v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</row>
    <row r="5" ht="18" customHeight="1">
      <c r="B5" s="30" t="inlineStr">
        <is>
          <t>Volume Growth (YoY)</t>
        </is>
      </c>
      <c r="C5" s="33" t="n">
        <v>20000</v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</row>
    <row r="6" ht="18" customHeight="1">
      <c r="B6" s="30" t="inlineStr">
        <is>
          <t>Investment</t>
        </is>
      </c>
      <c r="C6" s="31" t="n">
        <v>1000000</v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</row>
    <row r="7" ht="18" customHeight="1">
      <c r="B7" s="34" t="inlineStr">
        <is>
          <t>WACC</t>
        </is>
      </c>
      <c r="C7" s="35" t="n">
        <v>0.05</v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</row>
    <row r="8" ht="18" customHeight="1">
      <c r="B8" s="29" t="inlineStr">
        <is>
          <t>note:  revenue, unit cost, volume and volume growth are annual numbers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</row>
    <row r="9" ht="18" customHeight="1"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</row>
    <row r="10" ht="18" customHeight="1">
      <c r="B10" s="29" t="n"/>
      <c r="C10" s="29" t="n"/>
      <c r="D10" s="36" t="n">
        <v>2020</v>
      </c>
      <c r="E10" s="36" t="n">
        <v>2021</v>
      </c>
      <c r="F10" s="36" t="n">
        <v>2022</v>
      </c>
      <c r="G10" s="36" t="n">
        <v>2023</v>
      </c>
      <c r="H10" s="36" t="n">
        <v>2024</v>
      </c>
      <c r="I10" s="36" t="n">
        <v>2025</v>
      </c>
      <c r="J10" s="36" t="n">
        <v>2026</v>
      </c>
      <c r="K10" s="36" t="n">
        <v>2027</v>
      </c>
      <c r="L10" s="36" t="n">
        <v>2028</v>
      </c>
      <c r="M10" s="36" t="n">
        <v>2029</v>
      </c>
      <c r="N10" s="36" t="n">
        <v>2030</v>
      </c>
    </row>
    <row r="11" ht="18" customHeight="1">
      <c r="B11" s="29" t="inlineStr">
        <is>
          <t>Per Unit Revenue</t>
        </is>
      </c>
      <c r="C11" s="29" t="n"/>
      <c r="D11" s="37" t="n"/>
      <c r="E11" s="37">
        <f>$C$2</f>
        <v>540</v>
      </c>
      <c r="F11" s="37">
        <f>$C$2</f>
        <v>540</v>
      </c>
      <c r="G11" s="37">
        <f>$C$2</f>
        <v>540</v>
      </c>
      <c r="H11" s="37">
        <f>$C$2</f>
        <v>540</v>
      </c>
      <c r="I11" s="37">
        <f>$C$2</f>
        <v>540</v>
      </c>
      <c r="J11" s="37">
        <f>$C$2</f>
        <v>540</v>
      </c>
      <c r="K11" s="37">
        <f>$C$2</f>
        <v>540</v>
      </c>
      <c r="L11" s="37">
        <f>$C$2</f>
        <v>540</v>
      </c>
      <c r="M11" s="37">
        <f>$C$2</f>
        <v>540</v>
      </c>
      <c r="N11" s="37">
        <f>$C$2</f>
        <v>540</v>
      </c>
    </row>
    <row r="12" ht="18" customHeight="1">
      <c r="B12" s="29" t="inlineStr">
        <is>
          <t>Per Unit Costs</t>
        </is>
      </c>
      <c r="C12" s="29" t="n"/>
      <c r="D12" s="37" t="n"/>
      <c r="E12" s="37">
        <f>-$C$3</f>
        <v>-240</v>
      </c>
      <c r="F12" s="37">
        <f>-$C$3</f>
        <v>-240</v>
      </c>
      <c r="G12" s="37">
        <f>-$C$3</f>
        <v>-240</v>
      </c>
      <c r="H12" s="37">
        <f>-$C$3</f>
        <v>-240</v>
      </c>
      <c r="I12" s="37">
        <f>-$C$3</f>
        <v>-240</v>
      </c>
      <c r="J12" s="37">
        <f>-$C$3</f>
        <v>-240</v>
      </c>
      <c r="K12" s="37">
        <f>-$C$3</f>
        <v>-240</v>
      </c>
      <c r="L12" s="37">
        <f>-$C$3</f>
        <v>-240</v>
      </c>
      <c r="M12" s="37">
        <f>-$C$3</f>
        <v>-240</v>
      </c>
      <c r="N12" s="37">
        <f>-$C$3</f>
        <v>-240</v>
      </c>
    </row>
    <row r="13" ht="18" customHeight="1">
      <c r="B13" s="29" t="n"/>
      <c r="C13" s="29" t="n"/>
      <c r="D13" s="37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</row>
    <row r="14" ht="18" customHeight="1">
      <c r="B14" s="29" t="inlineStr">
        <is>
          <t>Contribution Margin</t>
        </is>
      </c>
      <c r="C14" s="29" t="n"/>
      <c r="D14" s="37" t="n"/>
      <c r="E14" s="37">
        <f>E11+E12</f>
        <v>300</v>
      </c>
      <c r="F14" s="37">
        <f>F11+F12</f>
        <v>300</v>
      </c>
      <c r="G14" s="37">
        <f>G11+G12</f>
        <v>300</v>
      </c>
      <c r="H14" s="37">
        <f>H11+H12</f>
        <v>300</v>
      </c>
      <c r="I14" s="37">
        <f>I11+I12</f>
        <v>300</v>
      </c>
      <c r="J14" s="37">
        <f>J11+J12</f>
        <v>300</v>
      </c>
      <c r="K14" s="37">
        <f>K11+K12</f>
        <v>300</v>
      </c>
      <c r="L14" s="37">
        <f>L11+L12</f>
        <v>300</v>
      </c>
      <c r="M14" s="37">
        <f>M11+M12</f>
        <v>300</v>
      </c>
      <c r="N14" s="37">
        <f>N11+N12</f>
        <v>300</v>
      </c>
    </row>
    <row r="15" ht="18" customHeight="1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 ht="18" customHeight="1">
      <c r="B16" s="29" t="inlineStr">
        <is>
          <t>Volume</t>
        </is>
      </c>
      <c r="C16" s="29" t="n"/>
      <c r="D16" s="29" t="n"/>
      <c r="E16" s="70">
        <f>C4</f>
        <v>100000</v>
      </c>
      <c r="F16" s="70">
        <f>E16+$C$5</f>
        <v>120000</v>
      </c>
      <c r="G16" s="70">
        <f>F16+$C$5</f>
        <v>140000</v>
      </c>
      <c r="H16" s="70">
        <f>G16+$C$5</f>
        <v>160000</v>
      </c>
      <c r="I16" s="70">
        <f>H16+$C$5</f>
        <v>180000</v>
      </c>
      <c r="J16" s="70">
        <f>I16+$C$5</f>
        <v>200000</v>
      </c>
      <c r="K16" s="70">
        <f>J16+$C$5</f>
        <v>220000</v>
      </c>
      <c r="L16" s="70">
        <f>K16+$C$5</f>
        <v>240000</v>
      </c>
      <c r="M16" s="70">
        <f>L16+$C$5</f>
        <v>260000</v>
      </c>
      <c r="N16" s="70">
        <f>M16+$C$5</f>
        <v>280000</v>
      </c>
    </row>
    <row r="17" ht="6.75" customHeight="1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 ht="18" customHeight="1">
      <c r="B18" s="29" t="inlineStr">
        <is>
          <t>Contribution Margin Revenue</t>
        </is>
      </c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</row>
    <row r="19" ht="18.6" customHeight="1" thickBot="1">
      <c r="B19" s="29" t="inlineStr">
        <is>
          <t>and Investment</t>
        </is>
      </c>
      <c r="C19" s="29" t="n"/>
      <c r="D19" s="39">
        <f>-C6</f>
        <v>-1000000</v>
      </c>
      <c r="E19" s="40">
        <f>E14*E16</f>
        <v>30000000</v>
      </c>
      <c r="F19" s="40">
        <f>F14*F16</f>
        <v>36000000</v>
      </c>
      <c r="G19" s="40">
        <f>G14*G16</f>
        <v>42000000</v>
      </c>
      <c r="H19" s="40">
        <f>H14*H16</f>
        <v>48000000</v>
      </c>
      <c r="I19" s="40">
        <f>I14*I16</f>
        <v>54000000</v>
      </c>
      <c r="J19" s="40">
        <f>J14*J16</f>
        <v>60000000</v>
      </c>
      <c r="K19" s="40">
        <f>K14*K16</f>
        <v>66000000</v>
      </c>
      <c r="L19" s="40">
        <f>L14*L16</f>
        <v>72000000</v>
      </c>
      <c r="M19" s="40">
        <f>M14*M16</f>
        <v>78000000</v>
      </c>
      <c r="N19" s="40">
        <f>N14*N16</f>
        <v>84000000</v>
      </c>
    </row>
    <row r="20" ht="18" customHeight="1">
      <c r="B20" s="29" t="n"/>
      <c r="C20" s="29" t="n"/>
      <c r="D20" s="37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</row>
    <row r="21" ht="18" customHeight="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 ht="18.6" customHeight="1" thickBot="1">
      <c r="B22" s="29" t="inlineStr">
        <is>
          <t>Net Present Value</t>
        </is>
      </c>
      <c r="C22" s="29" t="n"/>
      <c r="D22" s="71">
        <f>NPV(C7,D19:N19)</f>
        <v>400537462.027439</v>
      </c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</row>
    <row r="23" ht="15" customHeight="1" thickTop="1"/>
  </sheetData>
  <mergeCells count="1">
    <mergeCell ref="D1:N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22"/>
  <sheetViews>
    <sheetView tabSelected="0" workbookViewId="0">
      <selection activeCell="B19" sqref="B19"/>
    </sheetView>
  </sheetViews>
  <sheetFormatPr baseColWidth="8" defaultRowHeight="14.4"/>
  <cols>
    <col width="23.77734375" customWidth="1" min="2" max="2"/>
    <col width="15.21875" bestFit="1" customWidth="1" min="3" max="3"/>
    <col width="13.44140625" bestFit="1" customWidth="1" min="4" max="4"/>
    <col width="12.5546875" bestFit="1" customWidth="1" min="5" max="14"/>
  </cols>
  <sheetData>
    <row r="1" ht="25.8" customHeight="1">
      <c r="D1" s="42" t="inlineStr">
        <is>
          <t>Example X</t>
        </is>
      </c>
    </row>
    <row r="2">
      <c r="B2" s="18" t="inlineStr">
        <is>
          <t>Per Unit Revenue</t>
        </is>
      </c>
      <c r="C2" s="19" t="n">
        <v>100</v>
      </c>
    </row>
    <row r="3">
      <c r="B3" s="20" t="inlineStr">
        <is>
          <t>Per Unit Cost</t>
        </is>
      </c>
      <c r="C3" s="21" t="n">
        <v>50</v>
      </c>
    </row>
    <row r="4">
      <c r="B4" s="20" t="inlineStr">
        <is>
          <t>Initial Volume</t>
        </is>
      </c>
      <c r="C4" s="22" t="n">
        <v>1000</v>
      </c>
    </row>
    <row r="5">
      <c r="B5" s="20" t="inlineStr">
        <is>
          <t>Volume Growth (YoY)</t>
        </is>
      </c>
      <c r="C5" s="23" t="n">
        <v>3000</v>
      </c>
    </row>
    <row r="6">
      <c r="B6" s="20" t="inlineStr">
        <is>
          <t>Investment</t>
        </is>
      </c>
      <c r="C6" s="21" t="n">
        <v>1000000</v>
      </c>
    </row>
    <row r="7">
      <c r="B7" s="24" t="inlineStr">
        <is>
          <t>WACC</t>
        </is>
      </c>
      <c r="C7" s="25" t="n">
        <v>0.08</v>
      </c>
    </row>
    <row r="10">
      <c r="D10" s="4" t="n">
        <v>2020</v>
      </c>
      <c r="E10" s="4" t="n">
        <v>2021</v>
      </c>
      <c r="F10" s="4" t="n">
        <v>2022</v>
      </c>
      <c r="G10" s="4" t="n">
        <v>2023</v>
      </c>
      <c r="H10" s="4" t="n">
        <v>2024</v>
      </c>
      <c r="I10" s="4" t="n">
        <v>2025</v>
      </c>
      <c r="J10" s="4" t="n">
        <v>2026</v>
      </c>
      <c r="K10" s="4" t="n">
        <v>2027</v>
      </c>
      <c r="L10" s="4" t="n">
        <v>2028</v>
      </c>
      <c r="M10" s="4" t="n">
        <v>2029</v>
      </c>
      <c r="N10" s="4" t="n">
        <v>2030</v>
      </c>
    </row>
    <row r="11">
      <c r="B11" t="inlineStr">
        <is>
          <t>Per Unit Revenue</t>
        </is>
      </c>
      <c r="D11" s="1" t="n"/>
      <c r="E11" s="1">
        <f>$C$2</f>
        <v>100</v>
      </c>
      <c r="F11" s="1">
        <f>$C$2</f>
        <v>100</v>
      </c>
      <c r="G11" s="1">
        <f>$C$2</f>
        <v>100</v>
      </c>
      <c r="H11" s="1">
        <f>$C$2</f>
        <v>100</v>
      </c>
      <c r="I11" s="1">
        <f>$C$2</f>
        <v>100</v>
      </c>
      <c r="J11" s="1">
        <f>$C$2</f>
        <v>100</v>
      </c>
      <c r="K11" s="1">
        <f>$C$2</f>
        <v>100</v>
      </c>
      <c r="L11" s="1">
        <f>$C$2</f>
        <v>100</v>
      </c>
      <c r="M11" s="1">
        <f>$C$2</f>
        <v>100</v>
      </c>
      <c r="N11" s="1">
        <f>$C$2</f>
        <v>100</v>
      </c>
    </row>
    <row r="12">
      <c r="B12" t="inlineStr">
        <is>
          <t>Per Unit Costs</t>
        </is>
      </c>
      <c r="D12" s="1" t="n"/>
      <c r="E12" s="1">
        <f>-$C$3</f>
        <v>-50</v>
      </c>
      <c r="F12" s="1">
        <f>-$C$3</f>
        <v>-50</v>
      </c>
      <c r="G12" s="1">
        <f>-$C$3</f>
        <v>-50</v>
      </c>
      <c r="H12" s="1">
        <f>-$C$3</f>
        <v>-50</v>
      </c>
      <c r="I12" s="1">
        <f>-$C$3</f>
        <v>-50</v>
      </c>
      <c r="J12" s="1">
        <f>-$C$3</f>
        <v>-50</v>
      </c>
      <c r="K12" s="1">
        <f>-$C$3</f>
        <v>-50</v>
      </c>
      <c r="L12" s="1">
        <f>-$C$3</f>
        <v>-50</v>
      </c>
      <c r="M12" s="1">
        <f>-$C$3</f>
        <v>-50</v>
      </c>
      <c r="N12" s="1">
        <f>-$C$3</f>
        <v>-50</v>
      </c>
    </row>
    <row r="13">
      <c r="D13" s="1" t="n"/>
    </row>
    <row r="14">
      <c r="B14" t="inlineStr">
        <is>
          <t>Contribution Margin</t>
        </is>
      </c>
      <c r="D14" s="1" t="n"/>
      <c r="E14" s="1">
        <f>E11+E12</f>
        <v>50</v>
      </c>
      <c r="F14" s="1">
        <f>F11+F12</f>
        <v>50</v>
      </c>
      <c r="G14" s="1">
        <f>G11+G12</f>
        <v>50</v>
      </c>
      <c r="H14" s="1">
        <f>H11+H12</f>
        <v>50</v>
      </c>
      <c r="I14" s="1">
        <f>I11+I12</f>
        <v>50</v>
      </c>
      <c r="J14" s="1">
        <f>J11+J12</f>
        <v>50</v>
      </c>
      <c r="K14" s="1">
        <f>K11+K12</f>
        <v>50</v>
      </c>
      <c r="L14" s="1">
        <f>L11+L12</f>
        <v>50</v>
      </c>
      <c r="M14" s="1">
        <f>M11+M12</f>
        <v>50</v>
      </c>
      <c r="N14" s="1">
        <f>N11+N12</f>
        <v>50</v>
      </c>
    </row>
    <row r="16">
      <c r="B16" t="inlineStr">
        <is>
          <t>Volume</t>
        </is>
      </c>
      <c r="E16" s="72">
        <f>C4</f>
        <v>1000</v>
      </c>
      <c r="F16" s="72">
        <f>E16+$C$5</f>
        <v>4000</v>
      </c>
      <c r="G16" s="72">
        <f>F16+$C$5</f>
        <v>7000</v>
      </c>
      <c r="H16" s="72">
        <f>G16+$C$5</f>
        <v>10000</v>
      </c>
      <c r="I16" s="72">
        <f>H16+$C$5</f>
        <v>13000</v>
      </c>
      <c r="J16" s="72">
        <f>I16+$C$5</f>
        <v>16000</v>
      </c>
      <c r="K16" s="72">
        <f>J16+$C$5</f>
        <v>19000</v>
      </c>
      <c r="L16" s="72">
        <f>K16+$C$5</f>
        <v>22000</v>
      </c>
      <c r="M16" s="72">
        <f>L16+$C$5</f>
        <v>25000</v>
      </c>
      <c r="N16" s="72">
        <f>M16+$C$5</f>
        <v>28000</v>
      </c>
    </row>
    <row r="17" ht="6.75" customHeight="1"/>
    <row r="18">
      <c r="B18" t="inlineStr">
        <is>
          <t>Contribution Margin Revenue</t>
        </is>
      </c>
    </row>
    <row r="19" ht="15" customHeight="1" thickBot="1">
      <c r="B19" t="inlineStr">
        <is>
          <t>and Investment</t>
        </is>
      </c>
      <c r="D19" s="6">
        <f>-C6</f>
        <v>-1000000</v>
      </c>
      <c r="E19" s="7">
        <f>E14*E16</f>
        <v>50000</v>
      </c>
      <c r="F19" s="7">
        <f>F14*F16</f>
        <v>200000</v>
      </c>
      <c r="G19" s="7">
        <f>G14*G16</f>
        <v>350000</v>
      </c>
      <c r="H19" s="7">
        <f>H14*H16</f>
        <v>500000</v>
      </c>
      <c r="I19" s="7">
        <f>I14*I16</f>
        <v>650000</v>
      </c>
      <c r="J19" s="7">
        <f>J14*J16</f>
        <v>800000</v>
      </c>
      <c r="K19" s="7">
        <f>K14*K16</f>
        <v>950000</v>
      </c>
      <c r="L19" s="7">
        <f>L14*L16</f>
        <v>1100000</v>
      </c>
      <c r="M19" s="7">
        <f>M14*M16</f>
        <v>1250000</v>
      </c>
      <c r="N19" s="7">
        <f>N14*N16</f>
        <v>1400000</v>
      </c>
    </row>
    <row r="20">
      <c r="D20" s="1" t="n"/>
    </row>
    <row r="22" ht="15" customHeight="1" thickBot="1">
      <c r="B22" t="inlineStr">
        <is>
          <t>Net Present Value</t>
        </is>
      </c>
      <c r="D22" s="73">
        <f>NPV(C7,D19:N19)</f>
        <v>2992619.25127263</v>
      </c>
    </row>
    <row r="23" ht="15" customHeight="1" thickTop="1"/>
  </sheetData>
  <mergeCells count="1">
    <mergeCell ref="D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39"/>
  <sheetViews>
    <sheetView tabSelected="0" zoomScale="91" zoomScaleNormal="91" workbookViewId="0">
      <selection activeCell="D1" sqref="D1:N1"/>
    </sheetView>
  </sheetViews>
  <sheetFormatPr baseColWidth="8" defaultRowHeight="14.4"/>
  <cols>
    <col width="29.88671875" customWidth="1" min="2" max="2"/>
    <col width="12.5546875" bestFit="1" customWidth="1" min="3" max="3"/>
    <col width="14.5546875" bestFit="1" customWidth="1" min="4" max="4"/>
    <col width="21.77734375" bestFit="1" customWidth="1" min="5" max="10"/>
    <col width="18.109375" customWidth="1" min="11" max="11"/>
    <col width="12.5546875" bestFit="1" customWidth="1" min="12" max="14"/>
  </cols>
  <sheetData>
    <row r="1" ht="26.4" customHeight="1" thickBot="1">
      <c r="D1" s="42" t="inlineStr">
        <is>
          <t>Example X</t>
        </is>
      </c>
    </row>
    <row r="2">
      <c r="B2" s="8" t="inlineStr">
        <is>
          <t>Per Unit Revenue</t>
        </is>
      </c>
      <c r="C2" s="9" t="n">
        <v>40</v>
      </c>
    </row>
    <row r="3">
      <c r="B3" s="10" t="inlineStr">
        <is>
          <t>Per Unit Cost</t>
        </is>
      </c>
      <c r="C3" s="11" t="n">
        <v>20</v>
      </c>
    </row>
    <row r="4">
      <c r="B4" s="10" t="inlineStr">
        <is>
          <t>Initial Volume</t>
        </is>
      </c>
      <c r="C4" s="12" t="n">
        <v>2000</v>
      </c>
    </row>
    <row r="5">
      <c r="B5" s="10" t="inlineStr">
        <is>
          <t>Volume Growth (YoY)</t>
        </is>
      </c>
      <c r="C5" s="13" t="n">
        <v>2000</v>
      </c>
    </row>
    <row r="6">
      <c r="B6" s="10" t="inlineStr">
        <is>
          <t>Investment</t>
        </is>
      </c>
      <c r="C6" s="11" t="n">
        <v>2000000</v>
      </c>
    </row>
    <row r="7" ht="15" customHeight="1" thickBot="1">
      <c r="B7" s="14" t="inlineStr">
        <is>
          <t>Weighted Average Cost of Capital</t>
        </is>
      </c>
      <c r="C7" s="15" t="n">
        <v>0.047</v>
      </c>
    </row>
    <row r="9">
      <c r="D9" s="4" t="n">
        <v>2022</v>
      </c>
      <c r="E9" s="4" t="n">
        <v>2023</v>
      </c>
      <c r="F9" s="4" t="n">
        <v>2024</v>
      </c>
      <c r="G9" s="4" t="n">
        <v>2025</v>
      </c>
      <c r="H9" s="4" t="n">
        <v>2026</v>
      </c>
      <c r="I9" s="4" t="n">
        <v>2027</v>
      </c>
      <c r="J9" s="4" t="n">
        <v>2028</v>
      </c>
      <c r="K9" s="4" t="n">
        <v>2029</v>
      </c>
      <c r="L9" s="4" t="n">
        <v>2030</v>
      </c>
      <c r="M9" s="4" t="n">
        <v>2031</v>
      </c>
      <c r="N9" s="4" t="n">
        <v>2032</v>
      </c>
    </row>
    <row r="10">
      <c r="B10" t="inlineStr">
        <is>
          <t>Per Unit Revenue</t>
        </is>
      </c>
      <c r="D10" s="1" t="n"/>
      <c r="E10" s="1">
        <f>$C$2</f>
        <v>40</v>
      </c>
      <c r="F10" s="1">
        <f>$C$2</f>
        <v>40</v>
      </c>
      <c r="G10" s="1">
        <f>$C$2</f>
        <v>40</v>
      </c>
      <c r="H10" s="1">
        <f>$C$2</f>
        <v>40</v>
      </c>
      <c r="I10" s="1">
        <f>$C$2</f>
        <v>40</v>
      </c>
      <c r="J10" s="1">
        <f>$C$2</f>
        <v>40</v>
      </c>
      <c r="K10" s="1">
        <f>$C$2</f>
        <v>40</v>
      </c>
      <c r="L10" s="1">
        <f>$C$2</f>
        <v>40</v>
      </c>
      <c r="M10" s="1">
        <f>$C$2</f>
        <v>40</v>
      </c>
      <c r="N10" s="1">
        <f>$C$2</f>
        <v>40</v>
      </c>
    </row>
    <row r="11">
      <c r="B11" t="inlineStr">
        <is>
          <t>Per Unit Costs</t>
        </is>
      </c>
      <c r="D11" s="1" t="n"/>
      <c r="E11" s="1">
        <f>-$C$3</f>
        <v>-20</v>
      </c>
      <c r="F11" s="1">
        <f>-$C$3</f>
        <v>-20</v>
      </c>
      <c r="G11" s="1">
        <f>-$C$3</f>
        <v>-20</v>
      </c>
      <c r="H11" s="1">
        <f>-$C$3</f>
        <v>-20</v>
      </c>
      <c r="I11" s="1">
        <f>-$C$3</f>
        <v>-20</v>
      </c>
      <c r="J11" s="1">
        <f>-$C$3</f>
        <v>-20</v>
      </c>
      <c r="K11" s="1">
        <f>-$C$3</f>
        <v>-20</v>
      </c>
      <c r="L11" s="1">
        <f>-$C$3</f>
        <v>-20</v>
      </c>
      <c r="M11" s="1">
        <f>-$C$3</f>
        <v>-20</v>
      </c>
      <c r="N11" s="1">
        <f>-$C$3</f>
        <v>-20</v>
      </c>
    </row>
    <row r="12">
      <c r="D12" s="1" t="n"/>
    </row>
    <row r="13">
      <c r="B13" t="inlineStr">
        <is>
          <t>Contribution Margin</t>
        </is>
      </c>
      <c r="D13" s="1" t="n"/>
      <c r="E13" s="1">
        <f>E10+E11</f>
        <v>20</v>
      </c>
      <c r="F13" s="1">
        <f>F10+F11</f>
        <v>20</v>
      </c>
      <c r="G13" s="1">
        <f>G10+G11</f>
        <v>20</v>
      </c>
      <c r="H13" s="1">
        <f>H10+H11</f>
        <v>20</v>
      </c>
      <c r="I13" s="1">
        <f>I10+I11</f>
        <v>20</v>
      </c>
      <c r="J13" s="1">
        <f>J10+J11</f>
        <v>20</v>
      </c>
      <c r="K13" s="1">
        <f>K10+K11</f>
        <v>20</v>
      </c>
      <c r="L13" s="1">
        <f>L10+L11</f>
        <v>20</v>
      </c>
      <c r="M13" s="1">
        <f>M10+M11</f>
        <v>20</v>
      </c>
      <c r="N13" s="1">
        <f>N10+N11</f>
        <v>20</v>
      </c>
    </row>
    <row r="15">
      <c r="B15" t="inlineStr">
        <is>
          <t>Volume</t>
        </is>
      </c>
      <c r="E15" s="72">
        <f>C4</f>
        <v>2000</v>
      </c>
      <c r="F15" s="72">
        <f>E15+$C$5</f>
        <v>4000</v>
      </c>
      <c r="G15" s="72">
        <f>F15+$C$5</f>
        <v>6000</v>
      </c>
      <c r="H15" s="72">
        <f>G15+$C$5</f>
        <v>8000</v>
      </c>
      <c r="I15" s="72">
        <f>H15+$C$5</f>
        <v>10000</v>
      </c>
      <c r="J15" s="72">
        <f>I15+$C$5</f>
        <v>12000</v>
      </c>
      <c r="K15" s="72">
        <f>J15+$C$5</f>
        <v>14000</v>
      </c>
      <c r="L15" s="72">
        <f>K15+$C$5</f>
        <v>16000</v>
      </c>
      <c r="M15" s="72">
        <f>L15+$C$5</f>
        <v>18000</v>
      </c>
      <c r="N15" s="72">
        <f>M15+$C$5</f>
        <v>20000</v>
      </c>
    </row>
    <row r="17">
      <c r="B17" t="inlineStr">
        <is>
          <t>Contribution Margin Revenue</t>
        </is>
      </c>
    </row>
    <row r="18" ht="15" customHeight="1" thickBot="1">
      <c r="B18" t="inlineStr">
        <is>
          <t>and Investment</t>
        </is>
      </c>
      <c r="D18" s="6">
        <f>-C6</f>
        <v>-2000000</v>
      </c>
      <c r="E18" s="7">
        <f>E13*E15</f>
        <v>40000</v>
      </c>
      <c r="F18" s="7">
        <f>F13*F15</f>
        <v>80000</v>
      </c>
      <c r="G18" s="7">
        <f>G13*G15</f>
        <v>120000</v>
      </c>
      <c r="H18" s="7">
        <f>H13*H15</f>
        <v>160000</v>
      </c>
      <c r="I18" s="7">
        <f>I13*I15</f>
        <v>200000</v>
      </c>
      <c r="J18" s="7">
        <f>J13*J15</f>
        <v>240000</v>
      </c>
      <c r="K18" s="7">
        <f>K13*K15</f>
        <v>280000</v>
      </c>
      <c r="L18" s="7">
        <f>L13*L15</f>
        <v>320000</v>
      </c>
      <c r="M18" s="7">
        <f>M13*M15</f>
        <v>360000</v>
      </c>
      <c r="N18" s="7">
        <f>N13*N15</f>
        <v>400000</v>
      </c>
    </row>
    <row r="19">
      <c r="D19" s="1" t="n"/>
    </row>
    <row r="21">
      <c r="B21" t="inlineStr">
        <is>
          <t>Net Present Value</t>
        </is>
      </c>
      <c r="D21" s="74">
        <f>NPV(C7,D18:N18)</f>
        <v>-376822.974934722</v>
      </c>
    </row>
    <row r="22">
      <c r="D22" s="17" t="n"/>
    </row>
    <row r="26" ht="25.8" customHeight="1">
      <c r="D26" s="42" t="inlineStr">
        <is>
          <t>Example X Sensitivity</t>
        </is>
      </c>
    </row>
    <row r="28">
      <c r="D28" s="75">
        <f>D21</f>
        <v>-376822.974934722</v>
      </c>
      <c r="E28" s="76" t="n">
        <v>70</v>
      </c>
      <c r="F28" s="76" t="n">
        <v>80</v>
      </c>
      <c r="G28" s="76" t="n">
        <v>90</v>
      </c>
      <c r="H28" s="76" t="n">
        <v>100</v>
      </c>
      <c r="I28" s="76" t="n">
        <v>110</v>
      </c>
      <c r="J28" s="76" t="n">
        <v>120</v>
      </c>
      <c r="K28" s="76" t="n">
        <v>150</v>
      </c>
    </row>
    <row r="29">
      <c r="D29" s="21" t="n">
        <v>10000000</v>
      </c>
      <c r="E29" s="1">
        <f t="dataTable" ref="E29:K39" dt2D="1" dtr="1" r1="C2" r2="C6"/>
        <v>-5717606.625493444</v>
      </c>
      <c r="F29" s="1" t="n">
        <v>-4950908.275329478</v>
      </c>
      <c r="G29" s="1" t="n">
        <v>-4184209.925165512</v>
      </c>
      <c r="H29" s="1" t="n">
        <v>-3417511.575001543</v>
      </c>
      <c r="I29" s="1" t="n">
        <v>-2650813.22483758</v>
      </c>
      <c r="J29" s="1" t="n">
        <v>-1884114.874673611</v>
      </c>
      <c r="K29" s="1" t="n">
        <v>415980.1758182882</v>
      </c>
    </row>
    <row r="30">
      <c r="D30" s="21" t="n">
        <v>12000000</v>
      </c>
      <c r="E30" s="1" t="n">
        <v>-7627826.300756099</v>
      </c>
      <c r="F30" s="1" t="n">
        <v>-6861127.950592133</v>
      </c>
      <c r="G30" s="1" t="n">
        <v>-6094429.600428168</v>
      </c>
      <c r="H30" s="1" t="n">
        <v>-5327731.250264199</v>
      </c>
      <c r="I30" s="1" t="n">
        <v>-4561032.900100236</v>
      </c>
      <c r="J30" s="1" t="n">
        <v>-3794334.549936267</v>
      </c>
      <c r="K30" s="1" t="n">
        <v>-1494239.499444366</v>
      </c>
    </row>
    <row r="31">
      <c r="D31" s="21" t="n">
        <v>14000000</v>
      </c>
      <c r="E31" s="1" t="n">
        <v>-9538045.976018755</v>
      </c>
      <c r="F31" s="1" t="n">
        <v>-8771347.62585479</v>
      </c>
      <c r="G31" s="1" t="n">
        <v>-8004649.275690823</v>
      </c>
      <c r="H31" s="1" t="n">
        <v>-7237950.925526854</v>
      </c>
      <c r="I31" s="1" t="n">
        <v>-6471252.57536289</v>
      </c>
      <c r="J31" s="1" t="n">
        <v>-5704554.225198923</v>
      </c>
      <c r="K31" s="1" t="n">
        <v>-3404459.174707021</v>
      </c>
    </row>
    <row r="32">
      <c r="D32" s="21" t="n">
        <v>16000000</v>
      </c>
      <c r="E32" s="1" t="n">
        <v>-11448265.65128141</v>
      </c>
      <c r="F32" s="1" t="n">
        <v>-10681567.30111744</v>
      </c>
      <c r="G32" s="1" t="n">
        <v>-9914868.950953478</v>
      </c>
      <c r="H32" s="1" t="n">
        <v>-9148170.60078951</v>
      </c>
      <c r="I32" s="1" t="n">
        <v>-8381472.250625545</v>
      </c>
      <c r="J32" s="1" t="n">
        <v>-7614773.900461578</v>
      </c>
      <c r="K32" s="1" t="n">
        <v>-5314678.849969675</v>
      </c>
    </row>
    <row r="33">
      <c r="D33" s="21" t="n">
        <v>18000000</v>
      </c>
      <c r="E33" s="1" t="n">
        <v>-13358485.32654407</v>
      </c>
      <c r="F33" s="1" t="n">
        <v>-12591786.9763801</v>
      </c>
      <c r="G33" s="1" t="n">
        <v>-11825088.62621613</v>
      </c>
      <c r="H33" s="1" t="n">
        <v>-11058390.27605217</v>
      </c>
      <c r="I33" s="1" t="n">
        <v>-10291691.9258882</v>
      </c>
      <c r="J33" s="1" t="n">
        <v>-9524993.575724233</v>
      </c>
      <c r="K33" s="1" t="n">
        <v>-7224898.525232334</v>
      </c>
    </row>
    <row r="34">
      <c r="D34" s="21" t="n">
        <v>20000000</v>
      </c>
      <c r="E34" s="1" t="n">
        <v>-15268705.00180672</v>
      </c>
      <c r="F34" s="1" t="n">
        <v>-14502006.65164276</v>
      </c>
      <c r="G34" s="1" t="n">
        <v>-13735308.30147878</v>
      </c>
      <c r="H34" s="1" t="n">
        <v>-12968609.95131482</v>
      </c>
      <c r="I34" s="1" t="n">
        <v>-12201911.60115086</v>
      </c>
      <c r="J34" s="1" t="n">
        <v>-11435213.25098689</v>
      </c>
      <c r="K34" s="1" t="n">
        <v>-9135118.20049499</v>
      </c>
    </row>
    <row r="35">
      <c r="D35" s="21" t="n">
        <v>22000000</v>
      </c>
      <c r="E35" s="1" t="n">
        <v>-17178924.67706938</v>
      </c>
      <c r="F35" s="1" t="n">
        <v>-16412226.32690541</v>
      </c>
      <c r="G35" s="1" t="n">
        <v>-15645527.97674144</v>
      </c>
      <c r="H35" s="1" t="n">
        <v>-14878829.62657748</v>
      </c>
      <c r="I35" s="1" t="n">
        <v>-14112131.27641351</v>
      </c>
      <c r="J35" s="1" t="n">
        <v>-13345432.92624955</v>
      </c>
      <c r="K35" s="1" t="n">
        <v>-11045337.87575764</v>
      </c>
    </row>
    <row r="36">
      <c r="D36" s="21" t="n">
        <v>24000000</v>
      </c>
      <c r="E36" s="1" t="n">
        <v>-19089144.35233204</v>
      </c>
      <c r="F36" s="1" t="n">
        <v>-18322446.00216806</v>
      </c>
      <c r="G36" s="1" t="n">
        <v>-17555747.6520041</v>
      </c>
      <c r="H36" s="1" t="n">
        <v>-16789049.30184013</v>
      </c>
      <c r="I36" s="1" t="n">
        <v>-16022350.95167617</v>
      </c>
      <c r="J36" s="1" t="n">
        <v>-15255652.6015122</v>
      </c>
      <c r="K36" s="1" t="n">
        <v>-12955557.5510203</v>
      </c>
    </row>
    <row r="37">
      <c r="D37" s="21" t="n">
        <v>26000000</v>
      </c>
      <c r="E37" s="1" t="n">
        <v>-20999364.02759469</v>
      </c>
      <c r="F37" s="1" t="n">
        <v>-20232665.67743072</v>
      </c>
      <c r="G37" s="1" t="n">
        <v>-19465967.32726675</v>
      </c>
      <c r="H37" s="1" t="n">
        <v>-18699268.97710279</v>
      </c>
      <c r="I37" s="1" t="n">
        <v>-17932570.62693882</v>
      </c>
      <c r="J37" s="1" t="n">
        <v>-17165872.27677485</v>
      </c>
      <c r="K37" s="1" t="n">
        <v>-14865777.22628296</v>
      </c>
    </row>
    <row r="38">
      <c r="D38" s="21" t="n">
        <v>28000000</v>
      </c>
      <c r="E38" s="1" t="n">
        <v>-22909583.70285735</v>
      </c>
      <c r="F38" s="1" t="n">
        <v>-22142885.35269338</v>
      </c>
      <c r="G38" s="1" t="n">
        <v>-21376187.00252941</v>
      </c>
      <c r="H38" s="1" t="n">
        <v>-20609488.65236545</v>
      </c>
      <c r="I38" s="1" t="n">
        <v>-19842790.30220148</v>
      </c>
      <c r="J38" s="1" t="n">
        <v>-19076091.95203751</v>
      </c>
      <c r="K38" s="1" t="n">
        <v>-16775996.90154561</v>
      </c>
    </row>
    <row r="39">
      <c r="D39" s="21" t="n">
        <v>30000000</v>
      </c>
      <c r="E39" s="1" t="n">
        <v>-24819803.37812</v>
      </c>
      <c r="F39" s="1" t="n">
        <v>-24053105.02795603</v>
      </c>
      <c r="G39" s="1" t="n">
        <v>-23286406.67779206</v>
      </c>
      <c r="H39" s="1" t="n">
        <v>-22519708.3276281</v>
      </c>
      <c r="I39" s="1" t="n">
        <v>-21753009.97746414</v>
      </c>
      <c r="J39" s="1" t="n">
        <v>-20986311.62730017</v>
      </c>
      <c r="K39" s="1" t="n">
        <v>-18686216.57680827</v>
      </c>
    </row>
  </sheetData>
  <mergeCells count="2">
    <mergeCell ref="D1:N1"/>
    <mergeCell ref="D26:N2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Tinskey</dc:creator>
  <dcterms:created xmlns:dcterms="http://purl.org/dc/terms/" xmlns:xsi="http://www.w3.org/2001/XMLSchema-instance" xsi:type="dcterms:W3CDTF">2020-09-03T14:58:07Z</dcterms:created>
  <dcterms:modified xmlns:dcterms="http://purl.org/dc/terms/" xmlns:xsi="http://www.w3.org/2001/XMLSchema-instance" xsi:type="dcterms:W3CDTF">2026-10-06T00:52:51Z</dcterms:modified>
  <cp:lastModifiedBy>Mel Coker</cp:lastModifiedBy>
  <cp:lastPrinted>2021-03-25T01:37:02Z</cp:lastPrinted>
</cp:coreProperties>
</file>